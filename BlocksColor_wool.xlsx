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yoshi\Desktop\マイクラ画像変換Webアプリ\"/>
    </mc:Choice>
  </mc:AlternateContent>
  <xr:revisionPtr revIDLastSave="0" documentId="13_ncr:1_{71AFE624-54D4-4663-9FA8-2FF5A8BCD7C9}" xr6:coauthVersionLast="47" xr6:coauthVersionMax="47" xr10:uidLastSave="{00000000-0000-0000-0000-000000000000}"/>
  <bookViews>
    <workbookView xWindow="-990" yWindow="10290" windowWidth="21555" windowHeight="136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K5" i="1"/>
  <c r="J5" i="1" s="1"/>
  <c r="L5" i="1"/>
  <c r="F5" i="1"/>
  <c r="E5" i="1"/>
  <c r="G10" i="1"/>
  <c r="K10" i="1"/>
  <c r="J10" i="1" s="1"/>
  <c r="L10" i="1"/>
  <c r="F10" i="1"/>
  <c r="E10" i="1"/>
  <c r="G2" i="1"/>
  <c r="K2" i="1"/>
  <c r="J2" i="1" s="1"/>
  <c r="L2" i="1"/>
  <c r="F2" i="1"/>
  <c r="E2" i="1"/>
  <c r="E3" i="1"/>
  <c r="F3" i="1"/>
  <c r="G3" i="1"/>
  <c r="K3" i="1" s="1"/>
  <c r="E9" i="1"/>
  <c r="F9" i="1"/>
  <c r="G9" i="1"/>
  <c r="E12" i="1"/>
  <c r="F12" i="1"/>
  <c r="G12" i="1"/>
  <c r="K12" i="1"/>
  <c r="J12" i="1" s="1"/>
  <c r="L12" i="1"/>
  <c r="E7" i="1"/>
  <c r="L7" i="1" s="1"/>
  <c r="F7" i="1"/>
  <c r="G7" i="1"/>
  <c r="E11" i="1"/>
  <c r="K11" i="1" s="1"/>
  <c r="F11" i="1"/>
  <c r="G11" i="1"/>
  <c r="E6" i="1"/>
  <c r="K6" i="1" s="1"/>
  <c r="F6" i="1"/>
  <c r="G6" i="1"/>
  <c r="E8" i="1"/>
  <c r="F8" i="1"/>
  <c r="G8" i="1"/>
  <c r="K8" i="1" s="1"/>
  <c r="L8" i="1"/>
  <c r="E16" i="1"/>
  <c r="K16" i="1" s="1"/>
  <c r="F16" i="1"/>
  <c r="G16" i="1"/>
  <c r="E4" i="1"/>
  <c r="F4" i="1"/>
  <c r="G4" i="1"/>
  <c r="E17" i="1"/>
  <c r="F17" i="1"/>
  <c r="L17" i="1" s="1"/>
  <c r="G17" i="1"/>
  <c r="K17" i="1" s="1"/>
  <c r="E15" i="1"/>
  <c r="F15" i="1"/>
  <c r="G15" i="1"/>
  <c r="E14" i="1"/>
  <c r="K14" i="1" s="1"/>
  <c r="F14" i="1"/>
  <c r="G14" i="1"/>
  <c r="L14" i="1"/>
  <c r="G13" i="1"/>
  <c r="K13" i="1" s="1"/>
  <c r="F13" i="1"/>
  <c r="E13" i="1"/>
  <c r="J13" i="1" l="1"/>
  <c r="I14" i="1"/>
  <c r="J14" i="1"/>
  <c r="M14" i="1" a="1"/>
  <c r="M14" i="1" s="1"/>
  <c r="H14" i="1" s="1" a="1"/>
  <c r="H14" i="1" s="1"/>
  <c r="L6" i="1"/>
  <c r="M6" i="1" s="1" a="1"/>
  <c r="M6" i="1" s="1"/>
  <c r="H6" i="1" s="1" a="1"/>
  <c r="H6" i="1" s="1"/>
  <c r="L13" i="1"/>
  <c r="I13" i="1" s="1"/>
  <c r="K15" i="1"/>
  <c r="J15" i="1" s="1"/>
  <c r="M10" i="1" a="1"/>
  <c r="M10" i="1" s="1"/>
  <c r="H10" i="1" s="1" a="1"/>
  <c r="H10" i="1" s="1"/>
  <c r="M12" i="1" a="1"/>
  <c r="M12" i="1" s="1"/>
  <c r="H12" i="1" s="1" a="1"/>
  <c r="H12" i="1" s="1"/>
  <c r="I10" i="1"/>
  <c r="L4" i="1"/>
  <c r="K7" i="1"/>
  <c r="I7" i="1" s="1"/>
  <c r="M2" i="1" a="1"/>
  <c r="M2" i="1" s="1"/>
  <c r="H2" i="1" s="1" a="1"/>
  <c r="H2" i="1" s="1"/>
  <c r="M5" i="1" a="1"/>
  <c r="M5" i="1" s="1"/>
  <c r="H5" i="1" s="1" a="1"/>
  <c r="H5" i="1" s="1"/>
  <c r="I2" i="1"/>
  <c r="I5" i="1"/>
  <c r="K4" i="1"/>
  <c r="I12" i="1"/>
  <c r="K9" i="1"/>
  <c r="J16" i="1"/>
  <c r="J9" i="1"/>
  <c r="J3" i="1"/>
  <c r="M3" i="1" a="1"/>
  <c r="M3" i="1" s="1"/>
  <c r="H3" i="1" s="1" a="1"/>
  <c r="H3" i="1" s="1"/>
  <c r="J11" i="1"/>
  <c r="M11" i="1" a="1"/>
  <c r="M11" i="1" s="1"/>
  <c r="H11" i="1" s="1" a="1"/>
  <c r="H11" i="1" s="1"/>
  <c r="M8" i="1" a="1"/>
  <c r="M8" i="1" s="1"/>
  <c r="H8" i="1" s="1" a="1"/>
  <c r="H8" i="1" s="1"/>
  <c r="I8" i="1"/>
  <c r="J8" i="1"/>
  <c r="M17" i="1" a="1"/>
  <c r="M17" i="1" s="1"/>
  <c r="H17" i="1" s="1" a="1"/>
  <c r="H17" i="1" s="1"/>
  <c r="I17" i="1"/>
  <c r="J17" i="1"/>
  <c r="L3" i="1"/>
  <c r="I3" i="1" s="1"/>
  <c r="L15" i="1"/>
  <c r="L16" i="1"/>
  <c r="M16" i="1" s="1" a="1"/>
  <c r="M16" i="1" s="1"/>
  <c r="H16" i="1" s="1" a="1"/>
  <c r="H16" i="1" s="1"/>
  <c r="J4" i="1"/>
  <c r="L11" i="1"/>
  <c r="I11" i="1" s="1"/>
  <c r="J6" i="1"/>
  <c r="L9" i="1"/>
  <c r="I9" i="1" s="1"/>
  <c r="M7" i="1" l="1" a="1"/>
  <c r="M7" i="1" s="1"/>
  <c r="H7" i="1" s="1" a="1"/>
  <c r="H7" i="1" s="1"/>
  <c r="M13" i="1" a="1"/>
  <c r="M13" i="1" s="1"/>
  <c r="H13" i="1" s="1" a="1"/>
  <c r="H13" i="1" s="1"/>
  <c r="I15" i="1"/>
  <c r="J7" i="1"/>
  <c r="I6" i="1"/>
  <c r="M4" i="1" a="1"/>
  <c r="M4" i="1" s="1"/>
  <c r="H4" i="1" s="1" a="1"/>
  <c r="H4" i="1" s="1"/>
  <c r="I4" i="1"/>
  <c r="M9" i="1" a="1"/>
  <c r="M9" i="1" s="1"/>
  <c r="H9" i="1" s="1" a="1"/>
  <c r="H9" i="1" s="1"/>
  <c r="M15" i="1" a="1"/>
  <c r="M15" i="1" s="1"/>
  <c r="H15" i="1" s="1" a="1"/>
  <c r="H15" i="1" s="1"/>
  <c r="I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<sst xmlns="http://schemas.openxmlformats.org/spreadsheetml/2006/main" count="28" uniqueCount="28">
  <si>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r</t>
    <phoneticPr fontId="1"/>
  </si>
  <si>
    <t>g</t>
    <phoneticPr fontId="1"/>
  </si>
  <si>
    <t>b</t>
    <phoneticPr fontId="1"/>
  </si>
  <si>
    <t>Vmax</t>
    <phoneticPr fontId="1"/>
  </si>
  <si>
    <t>Vmin</t>
    <phoneticPr fontId="1"/>
  </si>
  <si>
    <t>B</t>
    <phoneticPr fontId="1"/>
  </si>
  <si>
    <t>G</t>
    <phoneticPr fontId="1"/>
  </si>
  <si>
    <t>R</t>
    <phoneticPr fontId="1"/>
  </si>
  <si>
    <t>tmpH</t>
    <phoneticPr fontId="1"/>
  </si>
  <si>
    <t>blue_wool</t>
    <phoneticPr fontId="1"/>
  </si>
  <si>
    <t>black_wool</t>
    <phoneticPr fontId="1"/>
  </si>
  <si>
    <t>H(度)</t>
    <rPh sb="2" eb="3">
      <t>ド</t>
    </rPh>
    <phoneticPr fontId="1"/>
  </si>
  <si>
    <t>S（1~100）</t>
    <phoneticPr fontId="1"/>
  </si>
  <si>
    <t>V（1~100）</t>
    <phoneticPr fontId="1"/>
  </si>
  <si>
    <t>brown_wool</t>
    <phoneticPr fontId="1"/>
  </si>
  <si>
    <t>cyan_wool</t>
    <phoneticPr fontId="1"/>
  </si>
  <si>
    <t>gray_wool</t>
    <phoneticPr fontId="1"/>
  </si>
  <si>
    <t>green_wool</t>
    <phoneticPr fontId="1"/>
  </si>
  <si>
    <t>light_blue_wool</t>
    <phoneticPr fontId="1"/>
  </si>
  <si>
    <t>light_gray_wool</t>
    <phoneticPr fontId="1"/>
  </si>
  <si>
    <t>lime_wool</t>
    <phoneticPr fontId="1"/>
  </si>
  <si>
    <t>magenta_wool</t>
    <phoneticPr fontId="1"/>
  </si>
  <si>
    <t>orange_wool</t>
    <phoneticPr fontId="1"/>
  </si>
  <si>
    <t>pink_wool</t>
    <phoneticPr fontId="1"/>
  </si>
  <si>
    <t>purple_wool</t>
    <phoneticPr fontId="1"/>
  </si>
  <si>
    <t>red_wool</t>
    <phoneticPr fontId="1"/>
  </si>
  <si>
    <t>white_wool</t>
    <phoneticPr fontId="1"/>
  </si>
  <si>
    <t>yellow_wool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</si>
</sst>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" sqref="H2"/>
    </sheetView>
  </sheetViews>
  <sheetFormatPr defaultRowHeight="18.75"/>
  <cols>
    <col min="1" max="1" width="15.5" customWidth="1"/>
    <col min="2" max="2" width="11" customWidth="1"/>
    <col min="3" max="3" width="11.25" customWidth="1"/>
    <col min="9" max="9" width="11.5" customWidth="1"/>
    <col min="10" max="10" width="12.25" customWidth="1"/>
  </cols>
  <sheetData>
    <row r="1" spans="1:13">
      <c r="B1" t="s">
        <v>7</v>
      </c>
      <c r="C1" t="s">
        <v>6</v>
      </c>
      <c r="D1" t="s">
        <v>5</v>
      </c>
      <c r="E1" t="s">
        <v>0</v>
      </c>
      <c r="F1" t="s">
        <v>1</v>
      </c>
      <c r="G1" t="s">
        <v>2</v>
      </c>
      <c r="H1" t="s">
        <v>11</v>
      </c>
      <c r="I1" t="s">
        <v>12</v>
      </c>
      <c r="J1" t="s">
        <v>13</v>
      </c>
      <c r="K1" t="s">
        <v>3</v>
      </c>
      <c r="L1" t="s">
        <v>4</v>
      </c>
      <c r="M1" t="s">
        <v>8</v>
      </c>
    </row>
    <row r="2" spans="1:13">
      <c r="A2" t="s">
        <v>25</v>
      </c>
      <c r="B2">
        <v>161</v>
      </c>
      <c r="C2">
        <v>39</v>
      </c>
      <c r="D2">
        <v>34</v>
      </c>
      <c r="E2">
        <f>B2/255</f>
        <v>0.63137254901960782</v>
      </c>
      <c r="F2">
        <f>C2/255</f>
        <v>0.15294117647058825</v>
      </c>
      <c r="G2">
        <f>D2/255</f>
        <v>0.13333333333333333</v>
      </c>
      <c r="H2" cm="1">
        <f t="array" ref="H2">ROUND(_xlfn.IFS(M2&gt;2*PI(),M2-2*PI(),
M2&lt;0,M2+2*PI(),
TRUE,M2)/(2*PI())*360,0)</f>
        <v>2</v>
      </c>
      <c r="I2">
        <f>ROUND((K2-L2)/K2 *100,0)</f>
        <v>79</v>
      </c>
      <c r="J2">
        <f>ROUND(K2 * 100,0)</f>
        <v>63</v>
      </c>
      <c r="K2">
        <f>MAX(E2:G2)</f>
        <v>0.63137254901960782</v>
      </c>
      <c r="L2">
        <f>MIN(E2:G2)</f>
        <v>0.13333333333333333</v>
      </c>
      <c r="M2" cm="1">
        <f t="array" ref="M2">_xlfn.IFS(K2=E2,(F2-G2)/(K2-L2)*PI()/3,
K2=F2,(G2-E2)/(K2-L2)*PI()/3 + 2*PI()/3,
K2=G2,(E2-F2)/(K2-L2)*PI()/3 + 4*PI()/3)</f>
        <v>4.1228250047110178E-2</v>
      </c>
    </row>
    <row r="3" spans="1:13">
      <c r="A3" t="s">
        <v>14</v>
      </c>
      <c r="B3">
        <v>114</v>
      </c>
      <c r="C3">
        <v>72</v>
      </c>
      <c r="D3">
        <v>40</v>
      </c>
      <c r="E3">
        <f>B3/255</f>
        <v>0.44705882352941179</v>
      </c>
      <c r="F3">
        <f>C3/255</f>
        <v>0.28235294117647058</v>
      </c>
      <c r="G3">
        <f>D3/255</f>
        <v>0.15686274509803921</v>
      </c>
      <c r="H3" cm="1">
        <f t="array" ref="H3">ROUND(_xlfn.IFS(M3&gt;2*PI(),M3-2*PI(),
M3&lt;0,M3+2*PI(),
TRUE,M3)/(2*PI())*360,0)</f>
        <v>26</v>
      </c>
      <c r="I3">
        <f>ROUND((K3-L3)/K3 *100,0)</f>
        <v>65</v>
      </c>
      <c r="J3">
        <f>ROUND(K3 * 100,0)</f>
        <v>45</v>
      </c>
      <c r="K3">
        <f>MAX(E3:G3)</f>
        <v>0.44705882352941179</v>
      </c>
      <c r="L3">
        <f>MIN(E3:G3)</f>
        <v>0.15686274509803921</v>
      </c>
      <c r="M3" cm="1">
        <f t="array" ref="M3">_xlfn.IFS(K3=E3,(F3-G3)/(K3-L3)*PI()/3,
K3=F3,(G3-E3)/(K3-L3)*PI()/3 + 2*PI()/3,
K3=G3,(E3-F3)/(K3-L3)*PI()/3 + 4*PI()/3)</f>
        <v>0.45284218430123141</v>
      </c>
    </row>
    <row r="4" spans="1:13">
      <c r="A4" t="s">
        <v>22</v>
      </c>
      <c r="B4">
        <v>241</v>
      </c>
      <c r="C4">
        <v>119</v>
      </c>
      <c r="D4">
        <v>20</v>
      </c>
      <c r="E4">
        <f>B4/255</f>
        <v>0.94509803921568625</v>
      </c>
      <c r="F4">
        <f>C4/255</f>
        <v>0.46666666666666667</v>
      </c>
      <c r="G4">
        <f>D4/255</f>
        <v>7.8431372549019607E-2</v>
      </c>
      <c r="H4" cm="1">
        <f t="array" ref="H4">ROUND(_xlfn.IFS(M4&gt;2*PI(),M4-2*PI(),
M4&lt;0,M4+2*PI(),
TRUE,M4)/(2*PI())*360,0)</f>
        <v>27</v>
      </c>
      <c r="I4">
        <f>ROUND((K4-L4)/K4 *100,0)</f>
        <v>92</v>
      </c>
      <c r="J4">
        <f>ROUND(K4 * 100,0)</f>
        <v>95</v>
      </c>
      <c r="K4">
        <f>MAX(E4:G4)</f>
        <v>0.94509803921568625</v>
      </c>
      <c r="L4">
        <f>MIN(E4:G4)</f>
        <v>7.8431372549019607E-2</v>
      </c>
      <c r="M4" cm="1">
        <f t="array" ref="M4">_xlfn.IFS(K4=E4,(F4-G4)/(K4-L4)*PI()/3,
K4=F4,(G4-E4)/(K4-L4)*PI()/3 + 2*PI()/3,
K4=G4,(E4-F4)/(K4-L4)*PI()/3 + 4*PI()/3)</f>
        <v>0.46910659533241256</v>
      </c>
    </row>
    <row r="5" spans="1:13">
      <c r="A5" t="s">
        <v>27</v>
      </c>
      <c r="B5">
        <v>249</v>
      </c>
      <c r="C5">
        <v>198</v>
      </c>
      <c r="D5">
        <v>40</v>
      </c>
      <c r="E5">
        <f>B5/255</f>
        <v>0.97647058823529409</v>
      </c>
      <c r="F5">
        <f>C5/255</f>
        <v>0.77647058823529413</v>
      </c>
      <c r="G5">
        <f>D5/255</f>
        <v>0.15686274509803921</v>
      </c>
      <c r="H5" cm="1">
        <f t="array" ref="H5">ROUND(_xlfn.IFS(M5&gt;2*PI(),M5-2*PI(),
M5&lt;0,M5+2*PI(),
TRUE,M5)/(2*PI())*360,0)</f>
        <v>45</v>
      </c>
      <c r="I5">
        <f>ROUND((K5-L5)/K5 *100,0)</f>
        <v>84</v>
      </c>
      <c r="J5">
        <f>ROUND(K5 * 100,0)</f>
        <v>98</v>
      </c>
      <c r="K5">
        <f>MAX(E5:G5)</f>
        <v>0.97647058823529409</v>
      </c>
      <c r="L5">
        <f>MIN(E5:G5)</f>
        <v>0.15686274509803921</v>
      </c>
      <c r="M5" cm="1">
        <f t="array" ref="M5">_xlfn.IFS(K5=E5,(F5-G5)/(K5-L5)*PI()/3,
K5=F5,(G5-E5)/(K5-L5)*PI()/3 + 2*PI()/3,
K5=G5,(E5-F5)/(K5-L5)*PI()/3 + 4*PI()/3)</f>
        <v>0.7916613066462318</v>
      </c>
    </row>
    <row r="6" spans="1:13">
      <c r="A6" t="s">
        <v>19</v>
      </c>
      <c r="B6">
        <v>142</v>
      </c>
      <c r="C6">
        <v>142</v>
      </c>
      <c r="D6">
        <v>135</v>
      </c>
      <c r="E6">
        <f>B6/255</f>
        <v>0.55686274509803924</v>
      </c>
      <c r="F6">
        <f>C6/255</f>
        <v>0.55686274509803924</v>
      </c>
      <c r="G6">
        <f>D6/255</f>
        <v>0.52941176470588236</v>
      </c>
      <c r="H6" cm="1">
        <f t="array" ref="H6">ROUND(_xlfn.IFS(M6&gt;2*PI(),M6-2*PI(),
M6&lt;0,M6+2*PI(),
TRUE,M6)/(2*PI())*360,0)</f>
        <v>60</v>
      </c>
      <c r="I6">
        <f>ROUND((K6-L6)/K6 *100,0)</f>
        <v>5</v>
      </c>
      <c r="J6">
        <f>ROUND(K6 * 100,0)</f>
        <v>56</v>
      </c>
      <c r="K6">
        <f>MAX(E6:G6)</f>
        <v>0.55686274509803924</v>
      </c>
      <c r="L6">
        <f>MIN(E6:G6)</f>
        <v>0.52941176470588236</v>
      </c>
      <c r="M6" cm="1">
        <f t="array" ref="M6">_xlfn.IFS(K6=E6,(F6-G6)/(K6-L6)*PI()/3,
K6=F6,(G6-E6)/(K6-L6)*PI()/3 + 2*PI()/3,
K6=G6,(E6-F6)/(K6-L6)*PI()/3 + 4*PI()/3)</f>
        <v>1.0471975511965976</v>
      </c>
    </row>
    <row r="7" spans="1:13">
      <c r="A7" t="s">
        <v>17</v>
      </c>
      <c r="B7">
        <v>85</v>
      </c>
      <c r="C7">
        <v>110</v>
      </c>
      <c r="D7">
        <v>27</v>
      </c>
      <c r="E7">
        <f>B7/255</f>
        <v>0.33333333333333331</v>
      </c>
      <c r="F7">
        <f>C7/255</f>
        <v>0.43137254901960786</v>
      </c>
      <c r="G7">
        <f>D7/255</f>
        <v>0.10588235294117647</v>
      </c>
      <c r="H7" cm="1">
        <f t="array" ref="H7">ROUND(_xlfn.IFS(M7&gt;2*PI(),M7-2*PI(),
M7&lt;0,M7+2*PI(),
TRUE,M7)/(2*PI())*360,0)</f>
        <v>78</v>
      </c>
      <c r="I7">
        <f>ROUND((K7-L7)/K7 *100,0)</f>
        <v>75</v>
      </c>
      <c r="J7">
        <f>ROUND(K7 * 100,0)</f>
        <v>43</v>
      </c>
      <c r="K7">
        <f>MAX(E7:G7)</f>
        <v>0.43137254901960786</v>
      </c>
      <c r="L7">
        <f>MIN(E7:G7)</f>
        <v>0.10588235294117647</v>
      </c>
      <c r="M7" cm="1">
        <f t="array" ref="M7">_xlfn.IFS(K7=E7,(F7-G7)/(K7-L7)*PI()/3,
K7=F7,(G7-E7)/(K7-L7)*PI()/3 + 2*PI()/3,
K7=G7,(E7-F7)/(K7-L7)*PI()/3 + 4*PI()/3)</f>
        <v>1.3626185003521996</v>
      </c>
    </row>
    <row r="8" spans="1:13">
      <c r="A8" t="s">
        <v>20</v>
      </c>
      <c r="B8">
        <v>112</v>
      </c>
      <c r="C8">
        <v>185</v>
      </c>
      <c r="D8">
        <v>26</v>
      </c>
      <c r="E8">
        <f>B8/255</f>
        <v>0.4392156862745098</v>
      </c>
      <c r="F8">
        <f>C8/255</f>
        <v>0.72549019607843135</v>
      </c>
      <c r="G8">
        <f>D8/255</f>
        <v>0.10196078431372549</v>
      </c>
      <c r="H8" cm="1">
        <f t="array" ref="H8">ROUND(_xlfn.IFS(M8&gt;2*PI(),M8-2*PI(),
M8&lt;0,M8+2*PI(),
TRUE,M8)/(2*PI())*360,0)</f>
        <v>88</v>
      </c>
      <c r="I8">
        <f>ROUND((K8-L8)/K8 *100,0)</f>
        <v>86</v>
      </c>
      <c r="J8">
        <f>ROUND(K8 * 100,0)</f>
        <v>73</v>
      </c>
      <c r="K8">
        <f>MAX(E8:G8)</f>
        <v>0.72549019607843135</v>
      </c>
      <c r="L8">
        <f>MIN(E8:G8)</f>
        <v>0.10196078431372549</v>
      </c>
      <c r="M8" cm="1">
        <f t="array" ref="M8">_xlfn.IFS(K8=E8,(F8-G8)/(K8-L8)*PI()/3,
K8=F8,(G8-E8)/(K8-L8)*PI()/3 + 2*PI()/3,
K8=G8,(E8-F8)/(K8-L8)*PI()/3 + 4*PI()/3)</f>
        <v>1.5279863640101299</v>
      </c>
    </row>
    <row r="9" spans="1:13">
      <c r="A9" t="s">
        <v>15</v>
      </c>
      <c r="B9">
        <v>21</v>
      </c>
      <c r="C9">
        <v>138</v>
      </c>
      <c r="D9">
        <v>91</v>
      </c>
      <c r="E9">
        <f>B9/255</f>
        <v>8.2352941176470587E-2</v>
      </c>
      <c r="F9">
        <f>C9/255</f>
        <v>0.54117647058823526</v>
      </c>
      <c r="G9">
        <f>D9/255</f>
        <v>0.35686274509803922</v>
      </c>
      <c r="H9" cm="1">
        <f t="array" ref="H9">ROUND(_xlfn.IFS(M9&gt;2*PI(),M9-2*PI(),
M9&lt;0,M9+2*PI(),
TRUE,M9)/(2*PI())*360,0)</f>
        <v>156</v>
      </c>
      <c r="I9">
        <f>ROUND((K9-L9)/K9 *100,0)</f>
        <v>85</v>
      </c>
      <c r="J9">
        <f>ROUND(K9 * 100,0)</f>
        <v>54</v>
      </c>
      <c r="K9">
        <f>MAX(E9:G9)</f>
        <v>0.54117647058823526</v>
      </c>
      <c r="L9">
        <f>MIN(E9:G9)</f>
        <v>8.2352941176470587E-2</v>
      </c>
      <c r="M9" cm="1">
        <f t="array" ref="M9">_xlfn.IFS(K9=E9,(F9-G9)/(K9-L9)*PI()/3,
K9=F9,(G9-E9)/(K9-L9)*PI()/3 + 2*PI()/3,
K9=G9,(E9-F9)/(K9-L9)*PI()/3 + 4*PI()/3)</f>
        <v>2.7209235518270574</v>
      </c>
    </row>
    <row r="10" spans="1:13">
      <c r="A10" t="s">
        <v>26</v>
      </c>
      <c r="B10">
        <v>234</v>
      </c>
      <c r="C10">
        <v>237</v>
      </c>
      <c r="D10">
        <v>237</v>
      </c>
      <c r="E10">
        <f>B10/255</f>
        <v>0.91764705882352937</v>
      </c>
      <c r="F10">
        <f>C10/255</f>
        <v>0.92941176470588238</v>
      </c>
      <c r="G10">
        <f>D10/255</f>
        <v>0.92941176470588238</v>
      </c>
      <c r="H10" cm="1">
        <f t="array" ref="H10">ROUND(_xlfn.IFS(M10&gt;2*PI(),M10-2*PI(),
M10&lt;0,M10+2*PI(),
TRUE,M10)/(2*PI())*360,0)</f>
        <v>180</v>
      </c>
      <c r="I10">
        <f>ROUND((K10-L10)/K10 *100,0)</f>
        <v>1</v>
      </c>
      <c r="J10">
        <f>ROUND(K10 * 100,0)</f>
        <v>93</v>
      </c>
      <c r="K10">
        <f>MAX(E10:G10)</f>
        <v>0.92941176470588238</v>
      </c>
      <c r="L10">
        <f>MIN(E10:G10)</f>
        <v>0.91764705882352937</v>
      </c>
      <c r="M10" cm="1">
        <f t="array" ref="M10">_xlfn.IFS(K10=E10,(F10-G10)/(K10-L10)*PI()/3,
K10=F10,(G10-E10)/(K10-L10)*PI()/3 + 2*PI()/3,
K10=G10,(E10-F10)/(K10-L10)*PI()/3 + 4*PI()/3)</f>
        <v>3.1415926535897931</v>
      </c>
    </row>
    <row r="11" spans="1:13">
      <c r="A11" t="s">
        <v>18</v>
      </c>
      <c r="B11">
        <v>58</v>
      </c>
      <c r="C11">
        <v>176</v>
      </c>
      <c r="D11">
        <v>218</v>
      </c>
      <c r="E11">
        <f>B11/255</f>
        <v>0.22745098039215686</v>
      </c>
      <c r="F11">
        <f>C11/255</f>
        <v>0.69019607843137254</v>
      </c>
      <c r="G11">
        <f>D11/255</f>
        <v>0.85490196078431369</v>
      </c>
      <c r="H11" cm="1">
        <f t="array" ref="H11">ROUND(_xlfn.IFS(M11&gt;2*PI(),M11-2*PI(),
M11&lt;0,M11+2*PI(),
TRUE,M11)/(2*PI())*360,0)</f>
        <v>196</v>
      </c>
      <c r="I11">
        <f>ROUND((K11-L11)/K11 *100,0)</f>
        <v>73</v>
      </c>
      <c r="J11">
        <f>ROUND(K11 * 100,0)</f>
        <v>85</v>
      </c>
      <c r="K11">
        <f>MAX(E11:G11)</f>
        <v>0.85490196078431369</v>
      </c>
      <c r="L11">
        <f>MIN(E11:G11)</f>
        <v>0.22745098039215686</v>
      </c>
      <c r="M11" cm="1">
        <f t="array" ref="M11">_xlfn.IFS(K11=E11,(F11-G11)/(K11-L11)*PI()/3,
K11=F11,(G11-E11)/(K11-L11)*PI()/3 + 2*PI()/3,
K11=G11,(E11-F11)/(K11-L11)*PI()/3 + 4*PI()/3)</f>
        <v>3.4164820107788998</v>
      </c>
    </row>
    <row r="12" spans="1:13">
      <c r="A12" t="s">
        <v>16</v>
      </c>
      <c r="B12">
        <v>63</v>
      </c>
      <c r="C12">
        <v>68</v>
      </c>
      <c r="D12">
        <v>72</v>
      </c>
      <c r="E12">
        <f>B12/255</f>
        <v>0.24705882352941178</v>
      </c>
      <c r="F12">
        <f>C12/255</f>
        <v>0.26666666666666666</v>
      </c>
      <c r="G12">
        <f>D12/255</f>
        <v>0.28235294117647058</v>
      </c>
      <c r="H12" cm="1">
        <f t="array" ref="H12">ROUND(_xlfn.IFS(M12&gt;2*PI(),M12-2*PI(),
M12&lt;0,M12+2*PI(),
TRUE,M12)/(2*PI())*360,0)</f>
        <v>207</v>
      </c>
      <c r="I12">
        <f>ROUND((K12-L12)/K12 *100,0)</f>
        <v>13</v>
      </c>
      <c r="J12">
        <f>ROUND(K12 * 100,0)</f>
        <v>28</v>
      </c>
      <c r="K12">
        <f>MAX(E12:G12)</f>
        <v>0.28235294117647058</v>
      </c>
      <c r="L12">
        <f>MIN(E12:G12)</f>
        <v>0.24705882352941178</v>
      </c>
      <c r="M12" cm="1">
        <f t="array" ref="M12">_xlfn.IFS(K12=E12,(F12-G12)/(K12-L12)*PI()/3,
K12=F12,(G12-E12)/(K12-L12)*PI()/3 + 2*PI()/3,
K12=G12,(E12-F12)/(K12-L12)*PI()/3 + 4*PI()/3)</f>
        <v>3.6070137874549477</v>
      </c>
    </row>
    <row r="13" spans="1:13">
      <c r="A13" t="s">
        <v>10</v>
      </c>
      <c r="B13">
        <v>21</v>
      </c>
      <c r="C13">
        <v>22</v>
      </c>
      <c r="D13">
        <v>26</v>
      </c>
      <c r="E13">
        <f>B13/255</f>
        <v>8.2352941176470587E-2</v>
      </c>
      <c r="F13">
        <f>C13/255</f>
        <v>8.6274509803921567E-2</v>
      </c>
      <c r="G13">
        <f>D13/255</f>
        <v>0.10196078431372549</v>
      </c>
      <c r="H13" cm="1">
        <f t="array" ref="H13">ROUND(_xlfn.IFS(M13&gt;2*PI(),M13-2*PI(),
M13&lt;0,M13+2*PI(),
TRUE,M13)/(2*PI())*360,0)</f>
        <v>228</v>
      </c>
      <c r="I13">
        <f>ROUND((K13-L13)/K13 *100,0)</f>
        <v>19</v>
      </c>
      <c r="J13">
        <f>ROUND(K13 * 100,0)</f>
        <v>10</v>
      </c>
      <c r="K13">
        <f>MAX(E13:G13)</f>
        <v>0.10196078431372549</v>
      </c>
      <c r="L13">
        <f>MIN(E13:G13)</f>
        <v>8.2352941176470587E-2</v>
      </c>
      <c r="M13" cm="1">
        <f t="array" ref="M13">_xlfn.IFS(K13=E13,(F13-G13)/(K13-L13)*PI()/3,
K13=F13,(G13-E13)/(K13-L13)*PI()/3 + 2*PI()/3,
K13=G13,(E13-F13)/(K13-L13)*PI()/3 + 4*PI()/3)</f>
        <v>3.9793506945470711</v>
      </c>
    </row>
    <row r="14" spans="1:13">
      <c r="A14" t="s">
        <v>9</v>
      </c>
      <c r="B14">
        <v>53</v>
      </c>
      <c r="C14">
        <v>57</v>
      </c>
      <c r="D14">
        <v>158</v>
      </c>
      <c r="E14">
        <f>B14/255</f>
        <v>0.20784313725490197</v>
      </c>
      <c r="F14">
        <f>C14/255</f>
        <v>0.22352941176470589</v>
      </c>
      <c r="G14">
        <f>D14/255</f>
        <v>0.61960784313725492</v>
      </c>
      <c r="H14" cm="1">
        <f t="array" ref="H14">ROUND(_xlfn.IFS(M14&gt;2*PI(),M14-2*PI(),
M14&lt;0,M14+2*PI(),
TRUE,M14)/(2*PI())*360,0)</f>
        <v>238</v>
      </c>
      <c r="I14">
        <f>ROUND((K14-L14)/K14 *100,0)</f>
        <v>66</v>
      </c>
      <c r="J14">
        <f>ROUND(K14 * 100,0)</f>
        <v>62</v>
      </c>
      <c r="K14">
        <f>MAX(E14:G14)</f>
        <v>0.61960784313725492</v>
      </c>
      <c r="L14">
        <f>MIN(E14:G14)</f>
        <v>0.20784313725490197</v>
      </c>
      <c r="M14" cm="1">
        <f t="array" ref="M14">_xlfn.IFS(K14=E14,(F14-G14)/(K14-L14)*PI()/3,
K14=F14,(G14-E14)/(K14-L14)*PI()/3 + 2*PI()/3,
K14=G14,(E14-F14)/(K14-L14)*PI()/3 + 4*PI()/3)</f>
        <v>4.148896964740806</v>
      </c>
    </row>
    <row r="15" spans="1:13">
      <c r="A15" t="s">
        <v>24</v>
      </c>
      <c r="B15">
        <v>122</v>
      </c>
      <c r="C15">
        <v>42</v>
      </c>
      <c r="D15">
        <v>173</v>
      </c>
      <c r="E15">
        <f>B15/255</f>
        <v>0.47843137254901963</v>
      </c>
      <c r="F15">
        <f>C15/255</f>
        <v>0.16470588235294117</v>
      </c>
      <c r="G15">
        <f>D15/255</f>
        <v>0.67843137254901964</v>
      </c>
      <c r="H15" cm="1">
        <f t="array" ref="H15">ROUND(_xlfn.IFS(M15&gt;2*PI(),M15-2*PI(),
M15&lt;0,M15+2*PI(),
TRUE,M15)/(2*PI())*360,0)</f>
        <v>277</v>
      </c>
      <c r="I15">
        <f>ROUND((K15-L15)/K15 *100,0)</f>
        <v>76</v>
      </c>
      <c r="J15">
        <f>ROUND(K15 * 100,0)</f>
        <v>68</v>
      </c>
      <c r="K15">
        <f>MAX(E15:G15)</f>
        <v>0.67843137254901964</v>
      </c>
      <c r="L15">
        <f>MIN(E15:G15)</f>
        <v>0.16470588235294117</v>
      </c>
      <c r="M15" cm="1">
        <f t="array" ref="M15">_xlfn.IFS(K15=E15,(F15-G15)/(K15-L15)*PI()/3,
K15=F15,(G15-E15)/(K15-L15)*PI()/3 + 2*PI()/3,
K15=G15,(E15-F15)/(K15-L15)*PI()/3 + 4*PI()/3)</f>
        <v>4.8283001597156101</v>
      </c>
    </row>
    <row r="16" spans="1:13">
      <c r="A16" t="s">
        <v>21</v>
      </c>
      <c r="B16">
        <v>190</v>
      </c>
      <c r="C16">
        <v>69</v>
      </c>
      <c r="D16">
        <v>180</v>
      </c>
      <c r="E16">
        <f>B16/255</f>
        <v>0.74509803921568629</v>
      </c>
      <c r="F16">
        <f>C16/255</f>
        <v>0.27058823529411763</v>
      </c>
      <c r="G16">
        <f>D16/255</f>
        <v>0.70588235294117652</v>
      </c>
      <c r="H16" cm="1">
        <f t="array" ref="H16">ROUND(_xlfn.IFS(M16&gt;2*PI(),M16-2*PI(),
M16&lt;0,M16+2*PI(),
TRUE,M16)/(2*PI())*360,0)</f>
        <v>305</v>
      </c>
      <c r="I16">
        <f>ROUND((K16-L16)/K16 *100,0)</f>
        <v>64</v>
      </c>
      <c r="J16">
        <f>ROUND(K16 * 100,0)</f>
        <v>75</v>
      </c>
      <c r="K16">
        <f>MAX(E16:G16)</f>
        <v>0.74509803921568629</v>
      </c>
      <c r="L16">
        <f>MIN(E16:G16)</f>
        <v>0.27058823529411763</v>
      </c>
      <c r="M16" cm="1">
        <f t="array" ref="M16">_xlfn.IFS(K16=E16,(F16-G16)/(K16-L16)*PI()/3,
K16=F16,(G16-E16)/(K16-L16)*PI()/3 + 2*PI()/3,
K16=G16,(E16-F16)/(K16-L16)*PI()/3 + 4*PI()/3)</f>
        <v>-0.96065229903158966</v>
      </c>
    </row>
    <row r="17" spans="1:13">
      <c r="A17" t="s">
        <v>23</v>
      </c>
      <c r="B17">
        <v>238</v>
      </c>
      <c r="C17">
        <v>142</v>
      </c>
      <c r="D17">
        <v>173</v>
      </c>
      <c r="E17">
        <f>B17/255</f>
        <v>0.93333333333333335</v>
      </c>
      <c r="F17">
        <f>C17/255</f>
        <v>0.55686274509803924</v>
      </c>
      <c r="G17">
        <f>D17/255</f>
        <v>0.67843137254901964</v>
      </c>
      <c r="H17" cm="1">
        <f t="array" ref="H17">ROUND(_xlfn.IFS(M17&gt;2*PI(),M17-2*PI(),
M17&lt;0,M17+2*PI(),
TRUE,M17)/(2*PI())*360,0)</f>
        <v>341</v>
      </c>
      <c r="I17">
        <f>ROUND((K17-L17)/K17 *100,0)</f>
        <v>40</v>
      </c>
      <c r="J17">
        <f>ROUND(K17 * 100,0)</f>
        <v>93</v>
      </c>
      <c r="K17">
        <f>MAX(E17:G17)</f>
        <v>0.93333333333333335</v>
      </c>
      <c r="L17">
        <f>MIN(E17:G17)</f>
        <v>0.55686274509803924</v>
      </c>
      <c r="M17" cm="1">
        <f t="array" ref="M17">_xlfn.IFS(K17=E17,(F17-G17)/(K17-L17)*PI()/3,
K17=F17,(G17-E17)/(K17-L17)*PI()/3 + 2*PI()/3,
K17=G17,(E17-F17)/(K17-L17)*PI()/3 + 4*PI()/3)</f>
        <v>-0.33815754257390135</v>
      </c>
    </row>
  </sheetData>
  <sortState xmlns:xlrd2="http://schemas.microsoft.com/office/spreadsheetml/2017/richdata2" ref="A2:M17">
    <sortCondition ref="H1:H17"/>
  </sortState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吉川耕平</dc:creator>
  <cp:lastModifiedBy>耕平 吉川</cp:lastModifiedBy>
  <dcterms:created xsi:type="dcterms:W3CDTF">2015-06-05T18:19:34Z</dcterms:created>
  <dcterms:modified xsi:type="dcterms:W3CDTF">2024-06-10T12:40:20Z</dcterms:modified>
</cp:coreProperties>
</file>